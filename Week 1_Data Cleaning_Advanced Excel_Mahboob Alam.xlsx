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78082731-669D-44B0-B730-A9F3538C7A4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Original data" sheetId="1" r:id="rId1"/>
    <sheet name="raw data" sheetId="2" r:id="rId2"/>
    <sheet name="refrence data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Q7" i="2"/>
  <c r="Q8" i="2"/>
  <c r="Q9" i="2"/>
  <c r="Q10" i="2"/>
  <c r="Q11" i="2"/>
  <c r="P3" i="2"/>
  <c r="P4" i="2"/>
  <c r="P5" i="2"/>
  <c r="P6" i="2"/>
  <c r="P7" i="2"/>
  <c r="P8" i="2"/>
  <c r="P9" i="2"/>
  <c r="P10" i="2"/>
  <c r="P11" i="2"/>
  <c r="P2" i="2"/>
  <c r="O3" i="2"/>
  <c r="O4" i="2"/>
  <c r="O5" i="2"/>
  <c r="O6" i="2"/>
  <c r="O7" i="2"/>
  <c r="O8" i="2"/>
  <c r="O9" i="2"/>
  <c r="O10" i="2"/>
  <c r="O11" i="2"/>
  <c r="O2" i="2"/>
  <c r="N10" i="2"/>
  <c r="N11" i="2"/>
  <c r="N3" i="2"/>
  <c r="N4" i="2"/>
  <c r="N5" i="2"/>
  <c r="N6" i="2"/>
  <c r="N7" i="2"/>
  <c r="N8" i="2"/>
  <c r="N9" i="2"/>
  <c r="N2" i="2"/>
  <c r="K3" i="2"/>
  <c r="K4" i="2"/>
  <c r="K5" i="2"/>
  <c r="K6" i="2"/>
  <c r="K7" i="2"/>
  <c r="K8" i="2"/>
  <c r="K9" i="2"/>
  <c r="K10" i="2"/>
  <c r="K11" i="2"/>
  <c r="K2" i="2"/>
</calcChain>
</file>

<file path=xl/sharedStrings.xml><?xml version="1.0" encoding="utf-8"?>
<sst xmlns="http://schemas.openxmlformats.org/spreadsheetml/2006/main" count="203" uniqueCount="79">
  <si>
    <t>Employee ID</t>
  </si>
  <si>
    <t>Employee Name</t>
  </si>
  <si>
    <t>Email</t>
  </si>
  <si>
    <t>Department</t>
  </si>
  <si>
    <t>City</t>
  </si>
  <si>
    <t>Joining Date</t>
  </si>
  <si>
    <t>Salary (₹)</t>
  </si>
  <si>
    <t>Sales Amount (₹)</t>
  </si>
  <si>
    <t>Manager ID</t>
  </si>
  <si>
    <t>Employment Status</t>
  </si>
  <si>
    <t>E001</t>
  </si>
  <si>
    <t>Aarav Sharma</t>
  </si>
  <si>
    <t>aarav.sharma@gmail.com</t>
  </si>
  <si>
    <t>Sales</t>
  </si>
  <si>
    <t>Delhi</t>
  </si>
  <si>
    <t>15/01/2024</t>
  </si>
  <si>
    <t>M01</t>
  </si>
  <si>
    <t>Active</t>
  </si>
  <si>
    <t>E002</t>
  </si>
  <si>
    <t>Priya Verma</t>
  </si>
  <si>
    <t>priya.verma@gmail.com</t>
  </si>
  <si>
    <t>HR</t>
  </si>
  <si>
    <t>Mumbai</t>
  </si>
  <si>
    <t>22/02/2024</t>
  </si>
  <si>
    <t>M02</t>
  </si>
  <si>
    <t>E003</t>
  </si>
  <si>
    <t>Rohan Singh</t>
  </si>
  <si>
    <t>rohan.singh@gmail.com</t>
  </si>
  <si>
    <t>IT</t>
  </si>
  <si>
    <t>Bengaluru</t>
  </si>
  <si>
    <t>M03</t>
  </si>
  <si>
    <t>E004</t>
  </si>
  <si>
    <t>Ananya Gupta</t>
  </si>
  <si>
    <t>ananya.gupta@gmail.com</t>
  </si>
  <si>
    <t>Finance</t>
  </si>
  <si>
    <t>Jaipur</t>
  </si>
  <si>
    <t>18/04/2024</t>
  </si>
  <si>
    <t>M04</t>
  </si>
  <si>
    <t>E005</t>
  </si>
  <si>
    <t>Aditya Kumar</t>
  </si>
  <si>
    <t>aditya.kumar@gmail.com</t>
  </si>
  <si>
    <t>Marketing</t>
  </si>
  <si>
    <t>Lucknow</t>
  </si>
  <si>
    <t>M05</t>
  </si>
  <si>
    <t>E006</t>
  </si>
  <si>
    <t>Sneha Yadav</t>
  </si>
  <si>
    <t>sneha.yadav@gmail.com</t>
  </si>
  <si>
    <t>Pune</t>
  </si>
  <si>
    <t>14/06/2024</t>
  </si>
  <si>
    <t>E007</t>
  </si>
  <si>
    <t>Karan Mehta</t>
  </si>
  <si>
    <t>karan.mehta@gmail.com</t>
  </si>
  <si>
    <t>Hyderabad</t>
  </si>
  <si>
    <t>25/07/2024</t>
  </si>
  <si>
    <t>E008</t>
  </si>
  <si>
    <t>Neha Patel</t>
  </si>
  <si>
    <t>neha.patel@gmail.com</t>
  </si>
  <si>
    <t>Ahmedabad</t>
  </si>
  <si>
    <t>E009</t>
  </si>
  <si>
    <t>Vikram Joshi</t>
  </si>
  <si>
    <t>vikram.joshi@gmail.com</t>
  </si>
  <si>
    <t>Chandigarh</t>
  </si>
  <si>
    <t>17/09/2024</t>
  </si>
  <si>
    <t>E010</t>
  </si>
  <si>
    <t>Pooja Mishra</t>
  </si>
  <si>
    <t>pooja.mishra@gmail.com</t>
  </si>
  <si>
    <t>Varanasi</t>
  </si>
  <si>
    <t>28/10/2024</t>
  </si>
  <si>
    <t>Department code</t>
  </si>
  <si>
    <t>Department Code</t>
  </si>
  <si>
    <t>Department code (INDEX/MATCH)</t>
  </si>
  <si>
    <t>Department Check</t>
  </si>
  <si>
    <t>Clean Name</t>
  </si>
  <si>
    <t>Proper name</t>
  </si>
  <si>
    <t>D01</t>
  </si>
  <si>
    <t>D02</t>
  </si>
  <si>
    <t>D03</t>
  </si>
  <si>
    <t>D04</t>
  </si>
  <si>
    <t>D05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</si>
</sst>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1" fillId="0" borderId="0" xfId="1"/>
    <xf numFmtId="14" fontId="0" fillId="0" borderId="0" xfId="0" applyNumberFormat="1"/>
    <xf numFmtId="164" fontId="0" fillId="0" borderId="0" xfId="0" applyNumberFormat="1"/>
    <xf numFmtId="14" fontId="2" fillId="0" borderId="0" xfId="0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ference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e Data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eha.patel@gmail.com" TargetMode="External"/><Relationship Id="rId3" Type="http://schemas.openxmlformats.org/officeDocument/2006/relationships/hyperlink" Target="mailto:rohan.singh@gmail.com" TargetMode="External"/><Relationship Id="rId7" Type="http://schemas.openxmlformats.org/officeDocument/2006/relationships/hyperlink" Target="mailto:karan.mehta@gmail.com" TargetMode="External"/><Relationship Id="rId2" Type="http://schemas.openxmlformats.org/officeDocument/2006/relationships/hyperlink" Target="mailto:priya.verma@gmail.com" TargetMode="External"/><Relationship Id="rId1" Type="http://schemas.openxmlformats.org/officeDocument/2006/relationships/hyperlink" Target="mailto:aarav.sharma@gmail.com" TargetMode="External"/><Relationship Id="rId6" Type="http://schemas.openxmlformats.org/officeDocument/2006/relationships/hyperlink" Target="mailto:sneha.yadav@gmail.com" TargetMode="External"/><Relationship Id="rId5" Type="http://schemas.openxmlformats.org/officeDocument/2006/relationships/hyperlink" Target="mailto:aditya.kumar@gmail.com" TargetMode="External"/><Relationship Id="rId10" Type="http://schemas.openxmlformats.org/officeDocument/2006/relationships/hyperlink" Target="mailto:pooja.mishra@gmail.com" TargetMode="External"/><Relationship Id="rId4" Type="http://schemas.openxmlformats.org/officeDocument/2006/relationships/hyperlink" Target="mailto:ananya.gupta@gmail.com" TargetMode="External"/><Relationship Id="rId9" Type="http://schemas.openxmlformats.org/officeDocument/2006/relationships/hyperlink" Target="mailto:vikram.joshi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.patel@gmail.com" TargetMode="External"/><Relationship Id="rId3" Type="http://schemas.openxmlformats.org/officeDocument/2006/relationships/hyperlink" Target="mailto:rohan.singh@gmail.com" TargetMode="External"/><Relationship Id="rId7" Type="http://schemas.openxmlformats.org/officeDocument/2006/relationships/hyperlink" Target="mailto:karan.mehta@gmail.com" TargetMode="External"/><Relationship Id="rId2" Type="http://schemas.openxmlformats.org/officeDocument/2006/relationships/hyperlink" Target="mailto:priya.verma@gmail.com" TargetMode="External"/><Relationship Id="rId1" Type="http://schemas.openxmlformats.org/officeDocument/2006/relationships/hyperlink" Target="mailto:aarav.sharma@gmail.com" TargetMode="External"/><Relationship Id="rId6" Type="http://schemas.openxmlformats.org/officeDocument/2006/relationships/hyperlink" Target="mailto:sneha.yadav@gmail.com" TargetMode="External"/><Relationship Id="rId5" Type="http://schemas.openxmlformats.org/officeDocument/2006/relationships/hyperlink" Target="mailto:aditya.kumar@gmail.com" TargetMode="External"/><Relationship Id="rId10" Type="http://schemas.openxmlformats.org/officeDocument/2006/relationships/hyperlink" Target="mailto:pooja.mishra@gmail.com" TargetMode="External"/><Relationship Id="rId4" Type="http://schemas.openxmlformats.org/officeDocument/2006/relationships/hyperlink" Target="mailto:ananya.gupta@gmail.com" TargetMode="External"/><Relationship Id="rId9" Type="http://schemas.openxmlformats.org/officeDocument/2006/relationships/hyperlink" Target="mailto:vikram.jos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C17" sqref="C17"/>
    </sheetView>
  </sheetViews>
  <sheetFormatPr defaultRowHeight="15"/>
  <cols>
    <col min="1" max="1" width="12.28515625" bestFit="1" customWidth="1"/>
    <col min="2" max="2" width="15.85546875" bestFit="1" customWidth="1"/>
    <col min="3" max="3" width="24.28515625" bestFit="1" customWidth="1"/>
    <col min="4" max="4" width="12" bestFit="1" customWidth="1"/>
    <col min="5" max="5" width="11.7109375" bestFit="1" customWidth="1"/>
    <col min="6" max="6" width="12.140625" style="3" bestFit="1" customWidth="1"/>
    <col min="8" max="8" width="16.42578125" bestFit="1" customWidth="1"/>
    <col min="9" max="9" width="11.5703125" bestFit="1" customWidth="1"/>
    <col min="10" max="10" width="18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s="2" t="s">
        <v>12</v>
      </c>
      <c r="D2" t="s">
        <v>13</v>
      </c>
      <c r="E2" t="s">
        <v>14</v>
      </c>
      <c r="F2" s="3" t="s">
        <v>15</v>
      </c>
      <c r="G2">
        <v>38000</v>
      </c>
      <c r="H2">
        <v>145000</v>
      </c>
      <c r="I2" s="7" t="s">
        <v>16</v>
      </c>
      <c r="J2" s="6" t="s">
        <v>17</v>
      </c>
    </row>
    <row r="3" spans="1:10">
      <c r="A3" t="s">
        <v>18</v>
      </c>
      <c r="B3" t="s">
        <v>19</v>
      </c>
      <c r="C3" s="2" t="s">
        <v>20</v>
      </c>
      <c r="D3" t="s">
        <v>21</v>
      </c>
      <c r="E3" t="s">
        <v>22</v>
      </c>
      <c r="F3" s="3" t="s">
        <v>23</v>
      </c>
      <c r="G3">
        <v>42000</v>
      </c>
      <c r="H3">
        <v>98000</v>
      </c>
      <c r="I3" s="7" t="s">
        <v>24</v>
      </c>
      <c r="J3" s="6" t="s">
        <v>17</v>
      </c>
    </row>
    <row r="4" spans="1:10">
      <c r="A4" t="s">
        <v>25</v>
      </c>
      <c r="B4" t="s">
        <v>26</v>
      </c>
      <c r="C4" s="2" t="s">
        <v>27</v>
      </c>
      <c r="D4" t="s">
        <v>28</v>
      </c>
      <c r="E4" t="s">
        <v>29</v>
      </c>
      <c r="F4" s="3">
        <v>45568</v>
      </c>
      <c r="G4">
        <v>55000</v>
      </c>
      <c r="H4">
        <v>175000</v>
      </c>
      <c r="I4" s="7" t="s">
        <v>30</v>
      </c>
      <c r="J4" s="6" t="s">
        <v>17</v>
      </c>
    </row>
    <row r="5" spans="1:10">
      <c r="A5" t="s">
        <v>31</v>
      </c>
      <c r="B5" t="s">
        <v>32</v>
      </c>
      <c r="C5" s="2" t="s">
        <v>33</v>
      </c>
      <c r="D5" t="s">
        <v>34</v>
      </c>
      <c r="E5" t="s">
        <v>35</v>
      </c>
      <c r="F5" s="3" t="s">
        <v>36</v>
      </c>
      <c r="G5">
        <v>47000</v>
      </c>
      <c r="H5">
        <v>125000</v>
      </c>
      <c r="I5" s="7" t="s">
        <v>37</v>
      </c>
      <c r="J5" s="6" t="s">
        <v>17</v>
      </c>
    </row>
    <row r="6" spans="1:10">
      <c r="A6" t="s">
        <v>38</v>
      </c>
      <c r="B6" t="s">
        <v>39</v>
      </c>
      <c r="C6" s="2" t="s">
        <v>40</v>
      </c>
      <c r="D6" t="s">
        <v>41</v>
      </c>
      <c r="E6" t="s">
        <v>42</v>
      </c>
      <c r="F6" s="3">
        <v>45448</v>
      </c>
      <c r="G6">
        <v>36000</v>
      </c>
      <c r="H6">
        <v>112000</v>
      </c>
      <c r="I6" s="7" t="s">
        <v>43</v>
      </c>
      <c r="J6" s="6" t="s">
        <v>17</v>
      </c>
    </row>
    <row r="7" spans="1:10">
      <c r="A7" t="s">
        <v>44</v>
      </c>
      <c r="B7" t="s">
        <v>45</v>
      </c>
      <c r="C7" s="2" t="s">
        <v>46</v>
      </c>
      <c r="D7" t="s">
        <v>13</v>
      </c>
      <c r="E7" t="s">
        <v>47</v>
      </c>
      <c r="F7" s="3" t="s">
        <v>48</v>
      </c>
      <c r="G7">
        <v>40000</v>
      </c>
      <c r="H7">
        <v>158000</v>
      </c>
      <c r="I7" s="7" t="s">
        <v>16</v>
      </c>
      <c r="J7" s="6" t="s">
        <v>17</v>
      </c>
    </row>
    <row r="8" spans="1:10">
      <c r="A8" t="s">
        <v>49</v>
      </c>
      <c r="B8" t="s">
        <v>50</v>
      </c>
      <c r="C8" s="2" t="s">
        <v>51</v>
      </c>
      <c r="D8" t="s">
        <v>28</v>
      </c>
      <c r="E8" t="s">
        <v>52</v>
      </c>
      <c r="F8" s="3" t="s">
        <v>53</v>
      </c>
      <c r="G8">
        <v>62000</v>
      </c>
      <c r="H8">
        <v>210000</v>
      </c>
      <c r="I8" s="7" t="s">
        <v>30</v>
      </c>
      <c r="J8" s="6" t="s">
        <v>17</v>
      </c>
    </row>
    <row r="9" spans="1:10">
      <c r="A9" t="s">
        <v>54</v>
      </c>
      <c r="B9" t="s">
        <v>55</v>
      </c>
      <c r="C9" s="2" t="s">
        <v>56</v>
      </c>
      <c r="D9" t="s">
        <v>21</v>
      </c>
      <c r="E9" t="s">
        <v>57</v>
      </c>
      <c r="F9" s="3">
        <v>45543</v>
      </c>
      <c r="G9">
        <v>44000</v>
      </c>
      <c r="H9">
        <v>105000</v>
      </c>
      <c r="I9" s="7" t="s">
        <v>24</v>
      </c>
      <c r="J9" s="6" t="s">
        <v>17</v>
      </c>
    </row>
    <row r="10" spans="1:10">
      <c r="A10" t="s">
        <v>58</v>
      </c>
      <c r="B10" t="s">
        <v>59</v>
      </c>
      <c r="C10" s="2" t="s">
        <v>60</v>
      </c>
      <c r="D10" t="s">
        <v>34</v>
      </c>
      <c r="E10" t="s">
        <v>61</v>
      </c>
      <c r="F10" s="3" t="s">
        <v>62</v>
      </c>
      <c r="G10">
        <v>51000</v>
      </c>
      <c r="H10">
        <v>138000</v>
      </c>
      <c r="I10" s="7" t="s">
        <v>37</v>
      </c>
      <c r="J10" s="6" t="s">
        <v>17</v>
      </c>
    </row>
    <row r="11" spans="1:10">
      <c r="A11" t="s">
        <v>63</v>
      </c>
      <c r="B11" t="s">
        <v>64</v>
      </c>
      <c r="C11" s="2" t="s">
        <v>65</v>
      </c>
      <c r="D11" t="s">
        <v>41</v>
      </c>
      <c r="E11" t="s">
        <v>66</v>
      </c>
      <c r="F11" s="3" t="s">
        <v>67</v>
      </c>
      <c r="G11">
        <v>39000</v>
      </c>
      <c r="H11">
        <v>117000</v>
      </c>
      <c r="I11" s="7" t="s">
        <v>43</v>
      </c>
      <c r="J11" s="6" t="s">
        <v>17</v>
      </c>
    </row>
    <row r="13" spans="1:10">
      <c r="H13" s="4"/>
    </row>
  </sheetData>
  <hyperlinks>
    <hyperlink ref="C2" r:id="rId1" xr:uid="{D0005003-1950-43CC-9BF4-12F04B09F2AC}"/>
    <hyperlink ref="C3" r:id="rId2" xr:uid="{EDB38331-E70C-4C58-905D-518D4E2E4738}"/>
    <hyperlink ref="C4" r:id="rId3" xr:uid="{B0B90346-4736-45F9-8A79-BEF1BB6C00A3}"/>
    <hyperlink ref="C5" r:id="rId4" xr:uid="{B11CC761-200D-4B50-9CFD-55BDDCD64D9F}"/>
    <hyperlink ref="C6" r:id="rId5" xr:uid="{71510388-9586-4C2D-A900-2DBED9F52554}"/>
    <hyperlink ref="C7" r:id="rId6" xr:uid="{27D9C7E2-75F7-46E5-9E2F-7E1A8CF0AF49}"/>
    <hyperlink ref="C8" r:id="rId7" xr:uid="{33D8CCBB-38F0-41C1-987C-5BBA9647EC62}"/>
    <hyperlink ref="C9" r:id="rId8" xr:uid="{29AD3B74-14A8-414E-99BB-D6123B7FE8C5}"/>
    <hyperlink ref="C10" r:id="rId9" xr:uid="{DCA3E526-12AA-4CA6-A629-EC56F6F9793E}"/>
    <hyperlink ref="C11" r:id="rId10" xr:uid="{D62CE022-1BCA-4316-A6D7-5A3454F7818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E045-DF00-4376-96E6-81E842C38522}">
  <dimension ref="A1:Q11"/>
  <sheetViews>
    <sheetView workbookViewId="0">
      <selection activeCell="H24" sqref="H24"/>
    </sheetView>
  </sheetViews>
  <sheetFormatPr defaultRowHeight="15"/>
  <cols>
    <col min="1" max="1" width="12.28515625" bestFit="1" customWidth="1"/>
    <col min="2" max="2" width="15.85546875" bestFit="1" customWidth="1"/>
    <col min="3" max="3" width="24.28515625" bestFit="1" customWidth="1"/>
    <col min="4" max="4" width="12" bestFit="1" customWidth="1"/>
    <col min="5" max="5" width="11.7109375" bestFit="1" customWidth="1"/>
    <col min="6" max="6" width="12.140625" bestFit="1" customWidth="1"/>
    <col min="7" max="7" width="9.42578125" bestFit="1" customWidth="1"/>
    <col min="8" max="8" width="16.42578125" bestFit="1" customWidth="1"/>
    <col min="9" max="9" width="11.5703125" bestFit="1" customWidth="1"/>
    <col min="10" max="10" width="18.85546875" bestFit="1" customWidth="1"/>
    <col min="11" max="11" width="16.28515625" bestFit="1" customWidth="1"/>
    <col min="12" max="12" width="12" bestFit="1" customWidth="1"/>
    <col min="13" max="13" width="17.140625" bestFit="1" customWidth="1"/>
    <col min="14" max="14" width="32.42578125" bestFit="1" customWidth="1"/>
    <col min="15" max="15" width="17.7109375" bestFit="1" customWidth="1"/>
    <col min="16" max="16" width="13.5703125" bestFit="1" customWidth="1"/>
    <col min="17" max="17" width="14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68</v>
      </c>
      <c r="L1" s="1" t="s">
        <v>3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</row>
    <row r="2" spans="1:17">
      <c r="A2" t="s">
        <v>10</v>
      </c>
      <c r="B2" t="s">
        <v>11</v>
      </c>
      <c r="C2" s="2" t="s">
        <v>12</v>
      </c>
      <c r="D2" t="s">
        <v>13</v>
      </c>
      <c r="E2" t="s">
        <v>14</v>
      </c>
      <c r="F2" s="3" t="s">
        <v>15</v>
      </c>
      <c r="G2">
        <v>38000</v>
      </c>
      <c r="H2">
        <v>145000</v>
      </c>
      <c r="I2" s="7" t="s">
        <v>16</v>
      </c>
      <c r="J2" s="6" t="s">
        <v>17</v>
      </c>
      <c r="K2" t="str">
        <f>VLOOKUP(D2,$L$2:$M$6,2,FALSE)</f>
        <v>D01</v>
      </c>
      <c r="L2" t="s">
        <v>13</v>
      </c>
      <c r="M2" t="s">
        <v>74</v>
      </c>
      <c r="N2" t="str">
        <f>INDEX($M$2:$M$6,MATCH(D2,$L$2:$L$6,0))</f>
        <v>D01</v>
      </c>
      <c r="O2" t="str">
        <f>IF(D2="","Missing","OK")</f>
        <v>OK</v>
      </c>
      <c r="P2" t="str">
        <f>TRIM(B2)</f>
        <v>Aarav Sharma</v>
      </c>
      <c r="Q2" t="str">
        <f>PROPER(B2)</f>
        <v>Aarav Sharma</v>
      </c>
    </row>
    <row r="3" spans="1:17">
      <c r="A3" t="s">
        <v>18</v>
      </c>
      <c r="B3" t="s">
        <v>19</v>
      </c>
      <c r="C3" s="2" t="s">
        <v>20</v>
      </c>
      <c r="D3" t="s">
        <v>21</v>
      </c>
      <c r="E3" t="s">
        <v>22</v>
      </c>
      <c r="F3" s="3" t="s">
        <v>23</v>
      </c>
      <c r="G3">
        <v>42000</v>
      </c>
      <c r="H3">
        <v>98000</v>
      </c>
      <c r="I3" s="7" t="s">
        <v>24</v>
      </c>
      <c r="J3" s="6" t="s">
        <v>17</v>
      </c>
      <c r="K3" t="str">
        <f t="shared" ref="K3:K11" si="0">VLOOKUP(D3,$L$2:$M$6,2,FALSE)</f>
        <v>D02</v>
      </c>
      <c r="L3" t="s">
        <v>21</v>
      </c>
      <c r="M3" t="s">
        <v>75</v>
      </c>
      <c r="N3" t="str">
        <f t="shared" ref="N3:N11" si="1">INDEX($M$2:$M$6,MATCH(D3,$L$2:$L$6,0))</f>
        <v>D02</v>
      </c>
      <c r="O3" t="str">
        <f t="shared" ref="O3:O11" si="2">IF(D3="","Missing","OK")</f>
        <v>OK</v>
      </c>
      <c r="P3" t="str">
        <f t="shared" ref="P3:P11" si="3">TRIM(B3)</f>
        <v>Priya Verma</v>
      </c>
      <c r="Q3" t="str">
        <f t="shared" ref="Q3:Q11" si="4">PROPER(B3)</f>
        <v>Priya Verma</v>
      </c>
    </row>
    <row r="4" spans="1:17">
      <c r="A4" t="s">
        <v>25</v>
      </c>
      <c r="B4" t="s">
        <v>26</v>
      </c>
      <c r="C4" s="2" t="s">
        <v>27</v>
      </c>
      <c r="D4" t="s">
        <v>28</v>
      </c>
      <c r="E4" t="s">
        <v>29</v>
      </c>
      <c r="F4" s="3">
        <v>45568</v>
      </c>
      <c r="G4">
        <v>55000</v>
      </c>
      <c r="H4">
        <v>175000</v>
      </c>
      <c r="I4" s="7" t="s">
        <v>30</v>
      </c>
      <c r="J4" s="6" t="s">
        <v>17</v>
      </c>
      <c r="K4" t="str">
        <f t="shared" si="0"/>
        <v>D03</v>
      </c>
      <c r="L4" t="s">
        <v>28</v>
      </c>
      <c r="M4" t="s">
        <v>76</v>
      </c>
      <c r="N4" t="str">
        <f t="shared" si="1"/>
        <v>D03</v>
      </c>
      <c r="O4" t="str">
        <f t="shared" si="2"/>
        <v>OK</v>
      </c>
      <c r="P4" t="str">
        <f t="shared" si="3"/>
        <v>Rohan Singh</v>
      </c>
      <c r="Q4" t="str">
        <f t="shared" si="4"/>
        <v>Rohan Singh</v>
      </c>
    </row>
    <row r="5" spans="1:17">
      <c r="A5" t="s">
        <v>31</v>
      </c>
      <c r="B5" t="s">
        <v>32</v>
      </c>
      <c r="C5" s="2" t="s">
        <v>33</v>
      </c>
      <c r="D5" t="s">
        <v>34</v>
      </c>
      <c r="E5" t="s">
        <v>35</v>
      </c>
      <c r="F5" s="3" t="s">
        <v>36</v>
      </c>
      <c r="G5">
        <v>47000</v>
      </c>
      <c r="H5">
        <v>125000</v>
      </c>
      <c r="I5" s="7" t="s">
        <v>37</v>
      </c>
      <c r="J5" s="6" t="s">
        <v>17</v>
      </c>
      <c r="K5" t="str">
        <f t="shared" si="0"/>
        <v>D04</v>
      </c>
      <c r="L5" t="s">
        <v>34</v>
      </c>
      <c r="M5" t="s">
        <v>77</v>
      </c>
      <c r="N5" t="str">
        <f t="shared" si="1"/>
        <v>D04</v>
      </c>
      <c r="O5" t="str">
        <f t="shared" si="2"/>
        <v>OK</v>
      </c>
      <c r="P5" t="str">
        <f t="shared" si="3"/>
        <v>Ananya Gupta</v>
      </c>
      <c r="Q5" t="str">
        <f t="shared" si="4"/>
        <v>Ananya Gupta</v>
      </c>
    </row>
    <row r="6" spans="1:17">
      <c r="A6" t="s">
        <v>38</v>
      </c>
      <c r="B6" t="s">
        <v>39</v>
      </c>
      <c r="C6" s="2" t="s">
        <v>40</v>
      </c>
      <c r="D6" t="s">
        <v>41</v>
      </c>
      <c r="E6" t="s">
        <v>42</v>
      </c>
      <c r="F6" s="3">
        <v>45448</v>
      </c>
      <c r="G6">
        <v>36000</v>
      </c>
      <c r="H6">
        <v>112000</v>
      </c>
      <c r="I6" s="7" t="s">
        <v>43</v>
      </c>
      <c r="J6" s="6" t="s">
        <v>17</v>
      </c>
      <c r="K6" t="str">
        <f t="shared" si="0"/>
        <v>D05</v>
      </c>
      <c r="L6" t="s">
        <v>41</v>
      </c>
      <c r="M6" t="s">
        <v>78</v>
      </c>
      <c r="N6" t="str">
        <f t="shared" si="1"/>
        <v>D05</v>
      </c>
      <c r="O6" t="str">
        <f t="shared" si="2"/>
        <v>OK</v>
      </c>
      <c r="P6" t="str">
        <f t="shared" si="3"/>
        <v>Aditya Kumar</v>
      </c>
      <c r="Q6" t="str">
        <f t="shared" si="4"/>
        <v>Aditya Kumar</v>
      </c>
    </row>
    <row r="7" spans="1:17">
      <c r="A7" t="s">
        <v>44</v>
      </c>
      <c r="B7" t="s">
        <v>45</v>
      </c>
      <c r="C7" s="2" t="s">
        <v>46</v>
      </c>
      <c r="D7" t="s">
        <v>13</v>
      </c>
      <c r="E7" t="s">
        <v>47</v>
      </c>
      <c r="F7" s="3" t="s">
        <v>48</v>
      </c>
      <c r="G7">
        <v>40000</v>
      </c>
      <c r="H7">
        <v>158000</v>
      </c>
      <c r="I7" s="7" t="s">
        <v>16</v>
      </c>
      <c r="J7" s="6" t="s">
        <v>17</v>
      </c>
      <c r="K7" t="str">
        <f t="shared" si="0"/>
        <v>D01</v>
      </c>
      <c r="N7" t="str">
        <f t="shared" si="1"/>
        <v>D01</v>
      </c>
      <c r="O7" t="str">
        <f t="shared" si="2"/>
        <v>OK</v>
      </c>
      <c r="P7" t="str">
        <f t="shared" si="3"/>
        <v>Sneha Yadav</v>
      </c>
      <c r="Q7" t="str">
        <f t="shared" si="4"/>
        <v>Sneha Yadav</v>
      </c>
    </row>
    <row r="8" spans="1:17">
      <c r="A8" t="s">
        <v>49</v>
      </c>
      <c r="B8" t="s">
        <v>50</v>
      </c>
      <c r="C8" s="2" t="s">
        <v>51</v>
      </c>
      <c r="D8" t="s">
        <v>28</v>
      </c>
      <c r="E8" t="s">
        <v>52</v>
      </c>
      <c r="F8" s="3" t="s">
        <v>53</v>
      </c>
      <c r="G8">
        <v>62000</v>
      </c>
      <c r="H8">
        <v>210000</v>
      </c>
      <c r="I8" s="7" t="s">
        <v>30</v>
      </c>
      <c r="J8" s="6" t="s">
        <v>17</v>
      </c>
      <c r="K8" t="str">
        <f t="shared" si="0"/>
        <v>D03</v>
      </c>
      <c r="N8" t="str">
        <f t="shared" si="1"/>
        <v>D03</v>
      </c>
      <c r="O8" t="str">
        <f t="shared" si="2"/>
        <v>OK</v>
      </c>
      <c r="P8" t="str">
        <f t="shared" si="3"/>
        <v>Karan Mehta</v>
      </c>
      <c r="Q8" t="str">
        <f t="shared" si="4"/>
        <v>Karan Mehta</v>
      </c>
    </row>
    <row r="9" spans="1:17">
      <c r="A9" t="s">
        <v>54</v>
      </c>
      <c r="B9" t="s">
        <v>55</v>
      </c>
      <c r="C9" s="2" t="s">
        <v>56</v>
      </c>
      <c r="D9" t="s">
        <v>21</v>
      </c>
      <c r="E9" t="s">
        <v>57</v>
      </c>
      <c r="F9" s="3">
        <v>45543</v>
      </c>
      <c r="G9">
        <v>44000</v>
      </c>
      <c r="H9">
        <v>105000</v>
      </c>
      <c r="I9" s="7" t="s">
        <v>24</v>
      </c>
      <c r="J9" s="6" t="s">
        <v>17</v>
      </c>
      <c r="K9" t="str">
        <f t="shared" si="0"/>
        <v>D02</v>
      </c>
      <c r="N9" t="str">
        <f t="shared" si="1"/>
        <v>D02</v>
      </c>
      <c r="O9" t="str">
        <f t="shared" si="2"/>
        <v>OK</v>
      </c>
      <c r="P9" t="str">
        <f t="shared" si="3"/>
        <v>Neha Patel</v>
      </c>
      <c r="Q9" t="str">
        <f t="shared" si="4"/>
        <v>Neha Patel</v>
      </c>
    </row>
    <row r="10" spans="1:17">
      <c r="A10" t="s">
        <v>58</v>
      </c>
      <c r="B10" t="s">
        <v>59</v>
      </c>
      <c r="C10" s="2" t="s">
        <v>60</v>
      </c>
      <c r="D10" t="s">
        <v>34</v>
      </c>
      <c r="E10" t="s">
        <v>61</v>
      </c>
      <c r="F10" s="3" t="s">
        <v>62</v>
      </c>
      <c r="G10">
        <v>51000</v>
      </c>
      <c r="H10">
        <v>138000</v>
      </c>
      <c r="I10" s="7" t="s">
        <v>37</v>
      </c>
      <c r="J10" s="6" t="s">
        <v>17</v>
      </c>
      <c r="K10" t="str">
        <f t="shared" si="0"/>
        <v>D04</v>
      </c>
      <c r="N10" t="str">
        <f>INDEX($M$2:$M$6,MATCH(D10,$L$2:$L$6,0))</f>
        <v>D04</v>
      </c>
      <c r="O10" t="str">
        <f t="shared" si="2"/>
        <v>OK</v>
      </c>
      <c r="P10" t="str">
        <f t="shared" si="3"/>
        <v>Vikram Joshi</v>
      </c>
      <c r="Q10" t="str">
        <f t="shared" si="4"/>
        <v>Vikram Joshi</v>
      </c>
    </row>
    <row r="11" spans="1:17">
      <c r="A11" t="s">
        <v>63</v>
      </c>
      <c r="B11" t="s">
        <v>64</v>
      </c>
      <c r="C11" s="2" t="s">
        <v>65</v>
      </c>
      <c r="D11" t="s">
        <v>41</v>
      </c>
      <c r="E11" t="s">
        <v>66</v>
      </c>
      <c r="F11" s="3" t="s">
        <v>67</v>
      </c>
      <c r="G11">
        <v>39000</v>
      </c>
      <c r="H11">
        <v>117000</v>
      </c>
      <c r="I11" s="7" t="s">
        <v>43</v>
      </c>
      <c r="J11" s="6" t="s">
        <v>17</v>
      </c>
      <c r="K11" t="str">
        <f t="shared" si="0"/>
        <v>D05</v>
      </c>
      <c r="N11" t="str">
        <f t="shared" si="1"/>
        <v>D05</v>
      </c>
      <c r="O11" t="str">
        <f t="shared" si="2"/>
        <v>OK</v>
      </c>
      <c r="P11" t="str">
        <f t="shared" si="3"/>
        <v>Pooja Mishra</v>
      </c>
      <c r="Q11" t="str">
        <f t="shared" si="4"/>
        <v>Pooja Mishra</v>
      </c>
    </row>
  </sheetData>
  <conditionalFormatting sqref="G2:G11">
    <cfRule type="cellIs" dxfId="1" priority="2" operator="lessThan">
      <formula>0</formula>
    </cfRule>
  </conditionalFormatting>
  <conditionalFormatting sqref="A2:A11">
    <cfRule type="duplicateValues" dxfId="0" priority="3"/>
  </conditionalFormatting>
  <dataValidations count="1">
    <dataValidation type="list" allowBlank="1" showInputMessage="1" showErrorMessage="1" sqref="D1:D11" xr:uid="{B38EA0A5-8A77-46B7-8619-71CF189A9F8F}">
      <formula1>"Sales,HR,IT,Finance,Marketing"</formula1>
    </dataValidation>
  </dataValidations>
  <hyperlinks>
    <hyperlink ref="C2" r:id="rId1" xr:uid="{D869C189-6E97-445F-A5AA-90E522DE0522}"/>
    <hyperlink ref="C3" r:id="rId2" xr:uid="{FE260F76-C872-49A0-9DDC-7271F2491C85}"/>
    <hyperlink ref="C4" r:id="rId3" xr:uid="{9F35DD73-2016-4D09-ADDF-8E6FAF4A3E96}"/>
    <hyperlink ref="C5" r:id="rId4" xr:uid="{6CD2E6EC-D0EA-45EB-B64E-E37DA92870A1}"/>
    <hyperlink ref="C6" r:id="rId5" xr:uid="{430CC998-C0D0-4585-80FC-0CFB40E0CD91}"/>
    <hyperlink ref="C7" r:id="rId6" xr:uid="{2CCF24C6-4B60-4A91-B473-64B1759BAD1C}"/>
    <hyperlink ref="C8" r:id="rId7" xr:uid="{7905E206-C354-49EF-A177-12C930DAF477}"/>
    <hyperlink ref="C9" r:id="rId8" xr:uid="{902220B5-8C66-4BE8-AB35-DA93579FE53B}"/>
    <hyperlink ref="C10" r:id="rId9" xr:uid="{612F1ACE-E9FB-4FCE-8A30-992FC0BF9F6B}"/>
    <hyperlink ref="C11" r:id="rId10" xr:uid="{0841BBFB-91BF-42B8-9C8F-BCAF8614FC6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3207-D30F-464C-B27C-EB4D1EE3784A}">
  <dimension ref="A1:B6"/>
  <sheetViews>
    <sheetView workbookViewId="0">
      <selection sqref="A1:B7"/>
    </sheetView>
  </sheetViews>
  <sheetFormatPr defaultRowHeight="15"/>
  <cols>
    <col min="1" max="1" width="12" bestFit="1" customWidth="1"/>
    <col min="2" max="2" width="17.140625" bestFit="1" customWidth="1"/>
  </cols>
  <sheetData>
    <row r="1" spans="1:2">
      <c r="A1" s="1" t="s">
        <v>3</v>
      </c>
      <c r="B1" s="1" t="s">
        <v>69</v>
      </c>
    </row>
    <row r="2" spans="1:2">
      <c r="A2" t="s">
        <v>13</v>
      </c>
      <c r="B2" t="s">
        <v>74</v>
      </c>
    </row>
    <row r="3" spans="1:2">
      <c r="A3" t="s">
        <v>21</v>
      </c>
      <c r="B3" t="s">
        <v>75</v>
      </c>
    </row>
    <row r="4" spans="1:2">
      <c r="A4" t="s">
        <v>28</v>
      </c>
      <c r="B4" t="s">
        <v>76</v>
      </c>
    </row>
    <row r="5" spans="1:2">
      <c r="A5" t="s">
        <v>34</v>
      </c>
      <c r="B5" t="s">
        <v>77</v>
      </c>
    </row>
    <row r="6" spans="1:2">
      <c r="A6" t="s">
        <v>41</v>
      </c>
      <c r="B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2026-09-19T13:17:15Z</dcterms:created>
  <dcterms:modified xsi:type="dcterms:W3CDTF">2026-09-19T15:53:38Z</dcterms:modified>
  <cp:category/>
  <cp:contentStatus/>
</cp:coreProperties>
</file>